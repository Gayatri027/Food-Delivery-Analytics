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71aa84cce48e04/Documents/Desktop/Food_Delivery_Analytics/Data/"/>
    </mc:Choice>
  </mc:AlternateContent>
  <xr:revisionPtr revIDLastSave="366" documentId="11_F25DC773A252ABDACC104851415D47D65BDE58EE" xr6:coauthVersionLast="47" xr6:coauthVersionMax="47" xr10:uidLastSave="{1ACF7637-37CD-4BB4-8F94-76D3FAB7F3B2}"/>
  <bookViews>
    <workbookView xWindow="-110" yWindow="-110" windowWidth="19420" windowHeight="11500" firstSheet="1" activeTab="4" xr2:uid="{00000000-000D-0000-FFFF-FFFF00000000}"/>
  </bookViews>
  <sheets>
    <sheet name="Pivot_Restaurant" sheetId="3" r:id="rId1"/>
    <sheet name="Pivot_Area_Revenue" sheetId="4" r:id="rId2"/>
    <sheet name="Pivot_Category" sheetId="5" r:id="rId3"/>
    <sheet name="Pivot_Delivery_Time" sheetId="6" r:id="rId4"/>
    <sheet name="Cleaned_data" sheetId="2" r:id="rId5"/>
    <sheet name="Raw_Data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P53" i="2" s="1"/>
  <c r="L14" i="2"/>
  <c r="L15" i="2"/>
  <c r="L16" i="2"/>
  <c r="L17" i="2"/>
  <c r="L18" i="2"/>
  <c r="L19" i="2"/>
  <c r="L20" i="2"/>
  <c r="L21" i="2"/>
  <c r="P36" i="2"/>
  <c r="P37" i="2"/>
  <c r="P38" i="2"/>
  <c r="P39" i="2"/>
  <c r="P42" i="2"/>
  <c r="P43" i="2"/>
  <c r="P47" i="2"/>
  <c r="P48" i="2"/>
  <c r="P49" i="2"/>
  <c r="P50" i="2"/>
  <c r="Q32" i="2"/>
  <c r="R32" i="2"/>
  <c r="P32" i="2"/>
  <c r="Q31" i="2"/>
  <c r="R31" i="2"/>
  <c r="P31" i="2"/>
  <c r="Q30" i="2"/>
  <c r="R30" i="2"/>
  <c r="Q29" i="2"/>
  <c r="R29" i="2"/>
  <c r="P30" i="2"/>
  <c r="P29" i="2"/>
  <c r="Q28" i="2"/>
  <c r="R28" i="2"/>
  <c r="P28" i="2"/>
  <c r="Q27" i="2"/>
  <c r="R27" i="2"/>
  <c r="P27" i="2"/>
  <c r="P54" i="2" l="1"/>
  <c r="P55" i="2"/>
  <c r="P5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52829-8883-40D5-B62B-EBF03C694E3D}" keepAlive="1" name="Query - Table13" description="Connection to the 'Table13' query in the workbook." type="5" refreshedVersion="0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<sst xmlns="http://schemas.openxmlformats.org/spreadsheetml/2006/main" count="360" uniqueCount="96">
  <si>
    <t>Order_ID</t>
  </si>
  <si>
    <t>Order_Date</t>
  </si>
  <si>
    <t>Customer_ID</t>
  </si>
  <si>
    <t>Restaurant</t>
  </si>
  <si>
    <t>Category</t>
  </si>
  <si>
    <t>Area</t>
  </si>
  <si>
    <t>Order_Value</t>
  </si>
  <si>
    <t>Delivery_Time</t>
  </si>
  <si>
    <t>Rating</t>
  </si>
  <si>
    <t>Payment_Mode</t>
  </si>
  <si>
    <t>Order_Status</t>
  </si>
  <si>
    <t>FD1001</t>
  </si>
  <si>
    <t>C101</t>
  </si>
  <si>
    <t>Pune Misal House</t>
  </si>
  <si>
    <t>Maharashtrian</t>
  </si>
  <si>
    <t>Kothrud</t>
  </si>
  <si>
    <t>UPI</t>
  </si>
  <si>
    <t>Delivered</t>
  </si>
  <si>
    <t>FD1002</t>
  </si>
  <si>
    <t>C102</t>
  </si>
  <si>
    <t>Puneri Tadka</t>
  </si>
  <si>
    <t>North Indian</t>
  </si>
  <si>
    <t>Baner</t>
  </si>
  <si>
    <t>Card</t>
  </si>
  <si>
    <t>FD1003</t>
  </si>
  <si>
    <t>C103</t>
  </si>
  <si>
    <t>Aai's Kitchen</t>
  </si>
  <si>
    <t>Wakad</t>
  </si>
  <si>
    <t>FD1004</t>
  </si>
  <si>
    <t>C104</t>
  </si>
  <si>
    <t>Sahyadri Cafe</t>
  </si>
  <si>
    <t>Fast Food</t>
  </si>
  <si>
    <t>Cash</t>
  </si>
  <si>
    <t>FD1005</t>
  </si>
  <si>
    <t>C105</t>
  </si>
  <si>
    <t>Puneri Biryani</t>
  </si>
  <si>
    <t>Biryani</t>
  </si>
  <si>
    <t>FD1006</t>
  </si>
  <si>
    <t>Mastani Corner</t>
  </si>
  <si>
    <t>Desserts</t>
  </si>
  <si>
    <t>FD1007</t>
  </si>
  <si>
    <t>C106</t>
  </si>
  <si>
    <t>Maharashtra Thali</t>
  </si>
  <si>
    <t>Hadapsar</t>
  </si>
  <si>
    <t>FD1008</t>
  </si>
  <si>
    <t>C107</t>
  </si>
  <si>
    <t>FD1009</t>
  </si>
  <si>
    <t>C108</t>
  </si>
  <si>
    <t>Kaka's Vada Pav</t>
  </si>
  <si>
    <t>FD1010</t>
  </si>
  <si>
    <t>C109</t>
  </si>
  <si>
    <t>FD1011</t>
  </si>
  <si>
    <t>C110</t>
  </si>
  <si>
    <t>FD1012</t>
  </si>
  <si>
    <t>C111</t>
  </si>
  <si>
    <t>FD1013</t>
  </si>
  <si>
    <t>C112</t>
  </si>
  <si>
    <t>FD1014</t>
  </si>
  <si>
    <t>C113</t>
  </si>
  <si>
    <t>FD1015</t>
  </si>
  <si>
    <t>C114</t>
  </si>
  <si>
    <t>FD1016</t>
  </si>
  <si>
    <t>C115</t>
  </si>
  <si>
    <t>FD1017</t>
  </si>
  <si>
    <t>C116</t>
  </si>
  <si>
    <t>FD1018</t>
  </si>
  <si>
    <t>C117</t>
  </si>
  <si>
    <t>FD1019</t>
  </si>
  <si>
    <t>C118</t>
  </si>
  <si>
    <t>FD1020</t>
  </si>
  <si>
    <t>Aai's kitchen</t>
  </si>
  <si>
    <t>SUM</t>
  </si>
  <si>
    <t>AVERAGE</t>
  </si>
  <si>
    <t>MAX</t>
  </si>
  <si>
    <t>MIN</t>
  </si>
  <si>
    <t>COUNT</t>
  </si>
  <si>
    <t>COUNTA</t>
  </si>
  <si>
    <t>COUNTIF(kothrud)</t>
  </si>
  <si>
    <t>COUNTIF(Baner)</t>
  </si>
  <si>
    <t>COUNTIF(UPI)</t>
  </si>
  <si>
    <t>MAHARASHTRIAN ORDER</t>
  </si>
  <si>
    <t>Kothrud total order value</t>
  </si>
  <si>
    <t>Baner total order value</t>
  </si>
  <si>
    <t>UPI total order value</t>
  </si>
  <si>
    <t>Maharashtrian total order value</t>
  </si>
  <si>
    <t>1. Average Rating for Kothrud</t>
  </si>
  <si>
    <t>2. Average Delivery Time for Baner</t>
  </si>
  <si>
    <t>Row Labels</t>
  </si>
  <si>
    <t>Grand Total</t>
  </si>
  <si>
    <t>Count of Order_ID</t>
  </si>
  <si>
    <t>Sum of Order_Value</t>
  </si>
  <si>
    <t>Average of Delivery_Time</t>
  </si>
  <si>
    <t>Delivery_Status</t>
  </si>
  <si>
    <t>COUNTIF(Delayed)</t>
  </si>
  <si>
    <t>COUNTIF(On_Time)</t>
  </si>
  <si>
    <t>COUNTIF(Missing)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</si>
</sst>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[food_delivery_raw_data.xlsx]Pivot_Restaurant!PivotTable2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by Restaurant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Pivot_Restaurant!$B$3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Pivot_Restaurant!$A$4:$A$12</c:f>
              <c:strCache>
                <c:ptCount val="8"/>
                <c:pt idx="0">
                  <c:v>Aai's kitchen</c:v>
                </c:pt>
                <c:pt idx="1">
                  <c:v>Kaka's Vada Pav</c:v>
                </c:pt>
                <c:pt idx="2">
                  <c:v>Maharashtra Thali</c:v>
                </c:pt>
                <c:pt idx="3">
                  <c:v>Mastani Corner</c:v>
                </c:pt>
                <c:pt idx="4">
                  <c:v>Pune Misal House</c:v>
                </c:pt>
                <c:pt idx="5">
                  <c:v>Puneri Biryani</c:v>
                </c:pt>
                <c:pt idx="6">
                  <c:v>Puneri Tadka</c:v>
                </c:pt>
                <c:pt idx="7">
                  <c:v>Sahyadri Cafe</c:v>
                </c:pt>
              </c:strCache>
            </c:strRef>
          </c:cat>
          <c:val>
            <c:numRef>
              <c:f>Pivot_Restaurant!$B$4:$B$12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F-4CEC-B074-DB38754B9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861648"/>
        <c:axId val="595196528"/>
        <c:axId val="0"/>
      </c:bar3DChart>
      <c:catAx>
        <c:axId val="13186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96528"/>
        <c:crosses val="autoZero"/>
        <c:auto val="1"/>
        <c:lblAlgn val="ctr"/>
        <c:lblOffset val="100"/>
        <c:noMultiLvlLbl val="0"/>
      </c:catAx>
      <c:valAx>
        <c:axId val="5951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6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869463001670522"/>
          <c:y val="0.50560195566468069"/>
          <c:w val="0.10051319555984339"/>
          <c:h val="8.0116037058843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[food_delivery_raw_data.xlsx]Pivot_Area_Revenue!PivotTable3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Pivot_Area_Revenue!$B$3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Pivot_Area_Revenue!$A$4:$A$8</c:f>
              <c:strCache>
                <c:ptCount val="4"/>
                <c:pt idx="0">
                  <c:v>Baner</c:v>
                </c:pt>
                <c:pt idx="1">
                  <c:v>Hadapsar</c:v>
                </c:pt>
                <c:pt idx="2">
                  <c:v>Kothrud</c:v>
                </c:pt>
                <c:pt idx="3">
                  <c:v>Wakad</c:v>
                </c:pt>
              </c:strCache>
            </c:strRef>
          </c:cat>
          <c:val>
            <c:numRef>
              <c:f>Pivot_Area_Revenue!$B$4:$B$8</c:f>
              <c:numCache>
                <c:formatCode>General</c:formatCode>
                <c:ptCount val="4"/>
                <c:pt idx="0">
                  <c:v>2470</c:v>
                </c:pt>
                <c:pt idx="1">
                  <c:v>1650</c:v>
                </c:pt>
                <c:pt idx="2">
                  <c:v>2140</c:v>
                </c:pt>
                <c:pt idx="3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C-4B25-A845-8601B55AD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2397072"/>
        <c:axId val="850427056"/>
        <c:axId val="0"/>
      </c:bar3DChart>
      <c:catAx>
        <c:axId val="8523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427056"/>
        <c:crosses val="autoZero"/>
        <c:auto val="1"/>
        <c:lblAlgn val="ctr"/>
        <c:lblOffset val="100"/>
        <c:noMultiLvlLbl val="0"/>
      </c:catAx>
      <c:valAx>
        <c:axId val="8504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3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306917</xdr:colOff>
      <xdr:row>1</xdr:row>
      <xdr:rowOff>67733</xdr:rowOff>
    </xdr:from>
    <xdr:to>
      <xdr:col>9</xdr:col>
      <xdr:colOff>582083</xdr:colOff>
      <xdr:row>16</xdr:row>
      <xdr:rowOff>112183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7704A-5130-4DBD-5FF5-25FF2686A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2</xdr:row>
      <xdr:rowOff>6350</xdr:rowOff>
    </xdr:from>
    <xdr:to>
      <xdr:col>9</xdr:col>
      <xdr:colOff>482600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561209-8196-F79A-1055-5258B5045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10763</xdr:colOff>
      <xdr:row>44</xdr:row>
      <xdr:rowOff>172203</xdr:rowOff>
    </xdr:from>
    <xdr:to>
      <xdr:col>16</xdr:col>
      <xdr:colOff>10762</xdr:colOff>
      <xdr:row>46</xdr:row>
      <xdr:rowOff>10764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595640-366C-B843-51AF-7F154B25F4D8}"/>
            </a:ext>
          </a:extLst>
        </xdr:cNvPr>
        <xdr:cNvSpPr/>
      </xdr:nvSpPr>
      <xdr:spPr>
        <a:xfrm>
          <a:off x="14389746" y="2636864"/>
          <a:ext cx="2970508" cy="204493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COINTIF</a:t>
          </a:r>
        </a:p>
      </xdr:txBody>
    </xdr:sp>
    <xdr:clientData/>
  </xdr:twoCellAnchor>
  <xdr:twoCellAnchor>
    <xdr:from>
      <xdr:col>13</xdr:col>
      <xdr:colOff>785677</xdr:colOff>
      <xdr:row>34</xdr:row>
      <xdr:rowOff>10762</xdr:rowOff>
    </xdr:from>
    <xdr:to>
      <xdr:col>16</xdr:col>
      <xdr:colOff>-1</xdr:colOff>
      <xdr:row>34</xdr:row>
      <xdr:rowOff>452033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3948A35-2427-0345-3E76-B6AA3F38B249}"/>
            </a:ext>
          </a:extLst>
        </xdr:cNvPr>
        <xdr:cNvSpPr/>
      </xdr:nvSpPr>
      <xdr:spPr>
        <a:xfrm>
          <a:off x="14378982" y="376694"/>
          <a:ext cx="2970509" cy="441271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SUMIF</a:t>
          </a:r>
          <a:endParaRPr lang="en-IN" sz="1100"/>
        </a:p>
      </xdr:txBody>
    </xdr:sp>
    <xdr:clientData/>
  </xdr:twoCellAnchor>
  <xdr:twoCellAnchor>
    <xdr:from>
      <xdr:col>14</xdr:col>
      <xdr:colOff>10763</xdr:colOff>
      <xdr:row>40</xdr:row>
      <xdr:rowOff>10762</xdr:rowOff>
    </xdr:from>
    <xdr:to>
      <xdr:col>16</xdr:col>
      <xdr:colOff>0</xdr:colOff>
      <xdr:row>41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E7B3E1-3EAF-85BB-042B-3295F9824E8E}"/>
            </a:ext>
          </a:extLst>
        </xdr:cNvPr>
        <xdr:cNvSpPr/>
      </xdr:nvSpPr>
      <xdr:spPr>
        <a:xfrm>
          <a:off x="12624661" y="1743559"/>
          <a:ext cx="2744492" cy="172204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/>
            <a:t>AVERAGEIF</a:t>
          </a:r>
          <a:endParaRPr lang="en-IN" sz="1100"/>
        </a:p>
      </xdr:txBody>
    </xdr:sp>
    <xdr:clientData/>
  </xdr:twoCellAnchor>
  <xdr:twoCellAnchor>
    <xdr:from>
      <xdr:col>13</xdr:col>
      <xdr:colOff>774914</xdr:colOff>
      <xdr:row>51</xdr:row>
      <xdr:rowOff>0</xdr:rowOff>
    </xdr:from>
    <xdr:to>
      <xdr:col>15</xdr:col>
      <xdr:colOff>800419</xdr:colOff>
      <xdr:row>51</xdr:row>
      <xdr:rowOff>181430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B7CED6C-2EB4-C890-D40F-E19C7574EF44}"/>
            </a:ext>
          </a:extLst>
        </xdr:cNvPr>
        <xdr:cNvSpPr/>
      </xdr:nvSpPr>
      <xdr:spPr>
        <a:xfrm>
          <a:off x="14787603" y="3815336"/>
          <a:ext cx="2965715" cy="18143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COUNTIF FOR DELIVERY STATUS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yatri pawar" refreshedDate="46282.70834571759" createdVersion="8" refreshedVersion="8" minRefreshableVersion="3" recordCount="20" xr:uid="{33563C00-BF17-457F-9740-8DDF7D4219B9}">
  <cacheSource type="worksheet">
    <worksheetSource name="Table13"/>
  </cacheSource>
  <cacheFields count="11">
    <cacheField name="Order_ID" numFmtId="0">
      <sharedItems count="20">
        <s v="FD1001"/>
        <s v="FD1002"/>
        <s v="FD1003"/>
        <s v="FD1004"/>
        <s v="FD1005"/>
        <s v="FD1006"/>
        <s v="FD1007"/>
        <s v="FD1008"/>
        <s v="FD1009"/>
        <s v="FD1010"/>
        <s v="FD1011"/>
        <s v="FD1012"/>
        <s v="FD1013"/>
        <s v="FD1014"/>
        <s v="FD1015"/>
        <s v="FD1016"/>
        <s v="FD1017"/>
        <s v="FD1018"/>
        <s v="FD1019"/>
        <s v="FD1020"/>
      </sharedItems>
    </cacheField>
    <cacheField name="Order_Date" numFmtId="14">
      <sharedItems containsSemiMixedTypes="0" containsNonDate="0" containsDate="1" containsString="0" minDate="2026-08-01T00:00:00" maxDate="2026-08-11T00:00:00"/>
    </cacheField>
    <cacheField name="Customer_ID" numFmtId="0">
      <sharedItems/>
    </cacheField>
    <cacheField name="Restaurant" numFmtId="0">
      <sharedItems count="8">
        <s v="Pune Misal House"/>
        <s v="Puneri Tadka"/>
        <s v="Aai's kitchen"/>
        <s v="Sahyadri Cafe"/>
        <s v="Puneri Biryani"/>
        <s v="Mastani Corner"/>
        <s v="Maharashtra Thali"/>
        <s v="Kaka's Vada Pav"/>
      </sharedItems>
    </cacheField>
    <cacheField name="Category" numFmtId="0">
      <sharedItems count="5">
        <s v="Maharashtrian"/>
        <s v="North Indian"/>
        <s v="Fast Food"/>
        <s v="Biryani"/>
        <s v="Desserts"/>
      </sharedItems>
    </cacheField>
    <cacheField name="Area" numFmtId="0">
      <sharedItems count="4">
        <s v="Kothrud"/>
        <s v="Baner"/>
        <s v="Wakad"/>
        <s v="Hadapsar"/>
      </sharedItems>
    </cacheField>
    <cacheField name="Order_Value" numFmtId="0">
      <sharedItems containsSemiMixedTypes="0" containsString="0" containsNumber="1" containsInteger="1" minValue="150" maxValue="720"/>
    </cacheField>
    <cacheField name="Delivery_Time" numFmtId="0">
      <sharedItems containsString="0" containsBlank="1" containsNumber="1" containsInteger="1" minValue="18" maxValue="55"/>
    </cacheField>
    <cacheField name="Rating" numFmtId="0">
      <sharedItems containsString="0" containsBlank="1" containsNumber="1" minValue="3.4" maxValue="4.8"/>
    </cacheField>
    <cacheField name="Payment_Mode" numFmtId="0">
      <sharedItems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d v="2026-08-01T00:00:00"/>
    <s v="C101"/>
    <x v="0"/>
    <x v="0"/>
    <x v="0"/>
    <n v="280"/>
    <n v="25"/>
    <n v="4.5"/>
    <s v="UPI"/>
    <s v="Delivered"/>
  </r>
  <r>
    <x v="1"/>
    <d v="2026-08-01T00:00:00"/>
    <s v="C102"/>
    <x v="1"/>
    <x v="1"/>
    <x v="1"/>
    <n v="520"/>
    <n v="38"/>
    <n v="4.0999999999999996"/>
    <s v="Card"/>
    <s v="Delivered"/>
  </r>
  <r>
    <x v="2"/>
    <d v="2026-08-02T00:00:00"/>
    <s v="C103"/>
    <x v="2"/>
    <x v="0"/>
    <x v="2"/>
    <n v="350"/>
    <n v="30"/>
    <n v="4.7"/>
    <s v="UPI"/>
    <s v="Delivered"/>
  </r>
  <r>
    <x v="3"/>
    <d v="2026-08-02T00:00:00"/>
    <s v="C104"/>
    <x v="3"/>
    <x v="2"/>
    <x v="0"/>
    <n v="420"/>
    <n v="35"/>
    <n v="4.2"/>
    <s v="Cash"/>
    <s v="Delivered"/>
  </r>
  <r>
    <x v="4"/>
    <d v="2026-08-03T00:00:00"/>
    <s v="C105"/>
    <x v="4"/>
    <x v="3"/>
    <x v="1"/>
    <n v="480"/>
    <n v="45"/>
    <n v="3.8"/>
    <s v="UPI"/>
    <s v="Delivered"/>
  </r>
  <r>
    <x v="5"/>
    <d v="2026-08-03T00:00:00"/>
    <s v="C101"/>
    <x v="5"/>
    <x v="4"/>
    <x v="0"/>
    <n v="260"/>
    <n v="22"/>
    <n v="4.5999999999999996"/>
    <s v="Card"/>
    <s v="Delivered"/>
  </r>
  <r>
    <x v="6"/>
    <d v="2026-08-04T00:00:00"/>
    <s v="C106"/>
    <x v="6"/>
    <x v="0"/>
    <x v="3"/>
    <n v="650"/>
    <n v="40"/>
    <n v="4.3"/>
    <s v="UPI"/>
    <s v="Delivered"/>
  </r>
  <r>
    <x v="7"/>
    <d v="2026-08-04T00:00:00"/>
    <s v="C107"/>
    <x v="1"/>
    <x v="1"/>
    <x v="2"/>
    <n v="550"/>
    <n v="48"/>
    <m/>
    <s v="Card"/>
    <s v="Delivered"/>
  </r>
  <r>
    <x v="8"/>
    <d v="2026-08-05T00:00:00"/>
    <s v="C108"/>
    <x v="7"/>
    <x v="2"/>
    <x v="0"/>
    <n v="180"/>
    <n v="18"/>
    <n v="4.8"/>
    <s v="UPI"/>
    <s v="Delivered"/>
  </r>
  <r>
    <x v="9"/>
    <d v="2026-08-05T00:00:00"/>
    <s v="C109"/>
    <x v="4"/>
    <x v="3"/>
    <x v="1"/>
    <n v="720"/>
    <n v="55"/>
    <n v="3.4"/>
    <s v="Card"/>
    <s v="Delivered"/>
  </r>
  <r>
    <x v="10"/>
    <d v="2026-08-06T00:00:00"/>
    <s v="C110"/>
    <x v="2"/>
    <x v="0"/>
    <x v="2"/>
    <n v="390"/>
    <n v="27"/>
    <n v="4.5999999999999996"/>
    <s v="UPI"/>
    <s v="Delivered"/>
  </r>
  <r>
    <x v="11"/>
    <d v="2026-08-06T00:00:00"/>
    <s v="C111"/>
    <x v="0"/>
    <x v="0"/>
    <x v="3"/>
    <n v="240"/>
    <n v="32"/>
    <n v="4.4000000000000004"/>
    <s v="Cash"/>
    <s v="Delivered"/>
  </r>
  <r>
    <x v="12"/>
    <d v="2026-08-07T00:00:00"/>
    <s v="C112"/>
    <x v="3"/>
    <x v="2"/>
    <x v="2"/>
    <n v="450"/>
    <m/>
    <n v="4"/>
    <s v="UPI"/>
    <s v="Delivered"/>
  </r>
  <r>
    <x v="13"/>
    <d v="2026-08-07T00:00:00"/>
    <s v="C113"/>
    <x v="5"/>
    <x v="4"/>
    <x v="1"/>
    <n v="320"/>
    <n v="29"/>
    <n v="4.5"/>
    <s v="Card"/>
    <s v="Delivered"/>
  </r>
  <r>
    <x v="14"/>
    <d v="2026-08-08T00:00:00"/>
    <s v="C114"/>
    <x v="6"/>
    <x v="0"/>
    <x v="0"/>
    <n v="700"/>
    <n v="37"/>
    <n v="4.2"/>
    <s v="UPI"/>
    <s v="Delivered"/>
  </r>
  <r>
    <x v="15"/>
    <d v="2026-08-08T00:00:00"/>
    <s v="C115"/>
    <x v="7"/>
    <x v="2"/>
    <x v="3"/>
    <n v="150"/>
    <n v="20"/>
    <n v="4.7"/>
    <s v="Cash"/>
    <s v="Delivered"/>
  </r>
  <r>
    <x v="16"/>
    <d v="2026-08-09T00:00:00"/>
    <s v="C116"/>
    <x v="4"/>
    <x v="3"/>
    <x v="2"/>
    <n v="590"/>
    <n v="52"/>
    <n v="3.5"/>
    <s v="UPI"/>
    <s v="Delivered"/>
  </r>
  <r>
    <x v="17"/>
    <d v="2026-08-09T00:00:00"/>
    <s v="C117"/>
    <x v="2"/>
    <x v="0"/>
    <x v="1"/>
    <n v="430"/>
    <n v="31"/>
    <n v="4.5999999999999996"/>
    <s v="Card"/>
    <s v="Delivered"/>
  </r>
  <r>
    <x v="18"/>
    <d v="2026-08-10T00:00:00"/>
    <s v="C118"/>
    <x v="1"/>
    <x v="1"/>
    <x v="3"/>
    <n v="610"/>
    <n v="44"/>
    <n v="3.9"/>
    <s v="UPI"/>
    <s v="Delivered"/>
  </r>
  <r>
    <x v="19"/>
    <d v="2026-08-10T00:00:00"/>
    <s v="C101"/>
    <x v="0"/>
    <x v="0"/>
    <x v="0"/>
    <n v="300"/>
    <n v="24"/>
    <n v="4.8"/>
    <s v="UPI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5C2AA-526E-48A3-B20D-4F99F2B79F7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2" firstHeaderRow="1" firstDataRow="1" firstDataCol="1"/>
  <pivotFields count="11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umFmtId="14" showAll="0"/>
    <pivotField showAll="0"/>
    <pivotField axis="axisRow" showAll="0">
      <items count="9">
        <item x="2"/>
        <item x="7"/>
        <item x="6"/>
        <item x="5"/>
        <item x="0"/>
        <item x="4"/>
        <item x="1"/>
        <item x="3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79457-64DC-4A1A-B829-4CF0CAA8F4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_Valu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A655B-BF46-4D52-A262-01E097E0FEE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11">
    <pivotField dataField="1" showAll="0"/>
    <pivotField numFmtId="14"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CC553-F46F-4CBF-A784-C3864CA893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0" firstHeaderRow="1" firstDataRow="1" firstDataCol="1"/>
  <pivotFields count="11">
    <pivotField showAll="0"/>
    <pivotField numFmtId="14" showAll="0"/>
    <pivotField showAll="0"/>
    <pivotField axis="axisRow" showAll="0">
      <items count="9">
        <item x="2"/>
        <item x="7"/>
        <item x="6"/>
        <item x="5"/>
        <item x="0"/>
        <item x="4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Delivery_Time" fld="7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05553-E7F2-486C-AAFC-0DE4BFC6006F}" name="Table13" displayName="Table13" ref="A1:L22" totalsRowCount="1" headerRowDxfId="31" dataDxfId="30">
  <autoFilter ref="A1:L21" xr:uid="{C9FCDFD8-C302-42A5-A0C7-D310BEEE3EE7}"/>
  <tableColumns count="12">
    <tableColumn id="1" xr3:uid="{4040FFB2-1300-4F27-8705-9D4138F377A9}" name="Order_ID" dataDxfId="29" totalsRowDxfId="4"/>
    <tableColumn id="2" xr3:uid="{B82C8C15-14E0-45FA-93CC-7F03D3AA8DAC}" name="Order_Date" dataDxfId="28" totalsRowDxfId="3"/>
    <tableColumn id="3" xr3:uid="{2F628E17-06CA-49C6-82CE-0670AE6EB9DC}" name="Customer_ID" dataDxfId="27" totalsRowDxfId="2"/>
    <tableColumn id="4" xr3:uid="{D6506446-8F27-49FA-871B-C08EEA6D8FF1}" name="Restaurant" dataDxfId="26" totalsRowDxfId="1"/>
    <tableColumn id="5" xr3:uid="{851217E2-706E-49DF-8986-C47F5199BE58}" name="Category" dataDxfId="10"/>
    <tableColumn id="6" xr3:uid="{EF84DC51-24F1-4415-80DD-8B9B0BDD6D26}" name="Area" dataDxfId="9"/>
    <tableColumn id="7" xr3:uid="{CF84AD41-E887-4AF3-AE2F-516F27AC76DB}" name="Order_Value" dataDxfId="8"/>
    <tableColumn id="8" xr3:uid="{89FB1D87-2E45-4B1A-84BB-B609247DB0CF}" name="Delivery_Time" dataDxfId="7"/>
    <tableColumn id="9" xr3:uid="{51CF6788-607B-424D-A38A-3E4A26B8E1F2}" name="Rating" dataDxfId="6"/>
    <tableColumn id="10" xr3:uid="{C4427F22-6EC9-4097-9921-C5269142BFD6}" name="Payment_Mode" dataDxfId="5"/>
    <tableColumn id="11" xr3:uid="{25A1A2C3-CE2A-4D78-AEBA-3B771536D10D}" name="Order_Status" dataDxfId="25" totalsRowDxfId="0"/>
    <tableColumn id="13" xr3:uid="{109753EE-7DED-4A80-A116-952184C576FA}" name="Delivery_Status" dataDxfId="24">
      <calculatedColumnFormula>IF(H2="","Missing",IF(H2&gt;40,"Delayed","On_Time"))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CDFD8-C302-42A5-A0C7-D310BEEE3EE7}" name="Table1" displayName="Table1" ref="A1:K21" totalsRowShown="0" headerRowDxfId="23" dataDxfId="22">
  <autoFilter ref="A1:K21" xr:uid="{C9FCDFD8-C302-42A5-A0C7-D310BEEE3EE7}"/>
  <tableColumns count="11">
    <tableColumn id="1" xr3:uid="{176DA593-B54E-4085-AC49-F56ECDA69DF6}" name="Order_ID" dataDxfId="21"/>
    <tableColumn id="2" xr3:uid="{B036D9D2-4D0C-4FCC-9DC3-0708E44AA503}" name="Order_Date" dataDxfId="20"/>
    <tableColumn id="3" xr3:uid="{6053A45A-0C05-402C-BDA6-4B9DD46FE864}" name="Customer_ID" dataDxfId="19"/>
    <tableColumn id="4" xr3:uid="{4A7B9F1E-E7AD-452E-B0FB-B1E0D05DBF54}" name="Restaurant" dataDxfId="18"/>
    <tableColumn id="5" xr3:uid="{D3CFBA6C-52F2-4F5C-B653-8C04C7C5A05C}" name="Category" dataDxfId="17"/>
    <tableColumn id="6" xr3:uid="{2ACF2026-2EAF-4700-A073-3A75678FF92B}" name="Area" dataDxfId="16"/>
    <tableColumn id="7" xr3:uid="{E64B87F4-693C-4D7E-A44E-3765FE9C12CA}" name="Order_Value" dataDxfId="15"/>
    <tableColumn id="8" xr3:uid="{AF631112-1A9F-42A2-A6CF-9B4F4466E936}" name="Delivery_Time" dataDxfId="14"/>
    <tableColumn id="9" xr3:uid="{B7A0FD02-6AF9-448D-B6F7-FD9D698837AC}" name="Rating" dataDxfId="13"/>
    <tableColumn id="10" xr3:uid="{956B1B68-509E-4F2B-8511-B98054B15F77}" name="Payment_Mode" dataDxfId="12"/>
    <tableColumn id="11" xr3:uid="{A8E76552-E684-43FD-8073-11CB86A97F6C}" name="Order_Statu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1958-FDFF-4899-9159-D3B9AB55C111}">
  <dimension ref="A3:B12"/>
  <sheetViews>
    <sheetView zoomScale="97" workbookViewId="0">
      <selection activeCell="G23" sqref="G23"/>
    </sheetView>
  </sheetViews>
  <sheetFormatPr defaultRowHeight="14.5" x14ac:dyDescent="0.35"/>
  <cols>
    <col min="1" max="1" width="16.90625" bestFit="1" customWidth="1"/>
    <col min="2" max="2" width="16.36328125" bestFit="1" customWidth="1"/>
  </cols>
  <sheetData>
    <row r="3" spans="1:2" x14ac:dyDescent="0.35">
      <c r="A3" s="6" t="s">
        <v>87</v>
      </c>
      <c r="B3" t="s">
        <v>89</v>
      </c>
    </row>
    <row r="4" spans="1:2" x14ac:dyDescent="0.35">
      <c r="A4" s="7" t="s">
        <v>70</v>
      </c>
      <c r="B4">
        <v>3</v>
      </c>
    </row>
    <row r="5" spans="1:2" x14ac:dyDescent="0.35">
      <c r="A5" s="7" t="s">
        <v>48</v>
      </c>
      <c r="B5">
        <v>2</v>
      </c>
    </row>
    <row r="6" spans="1:2" x14ac:dyDescent="0.35">
      <c r="A6" s="7" t="s">
        <v>42</v>
      </c>
      <c r="B6">
        <v>2</v>
      </c>
    </row>
    <row r="7" spans="1:2" x14ac:dyDescent="0.35">
      <c r="A7" s="7" t="s">
        <v>38</v>
      </c>
      <c r="B7">
        <v>2</v>
      </c>
    </row>
    <row r="8" spans="1:2" x14ac:dyDescent="0.35">
      <c r="A8" s="7" t="s">
        <v>13</v>
      </c>
      <c r="B8">
        <v>3</v>
      </c>
    </row>
    <row r="9" spans="1:2" x14ac:dyDescent="0.35">
      <c r="A9" s="7" t="s">
        <v>35</v>
      </c>
      <c r="B9">
        <v>3</v>
      </c>
    </row>
    <row r="10" spans="1:2" x14ac:dyDescent="0.35">
      <c r="A10" s="7" t="s">
        <v>20</v>
      </c>
      <c r="B10">
        <v>3</v>
      </c>
    </row>
    <row r="11" spans="1:2" x14ac:dyDescent="0.35">
      <c r="A11" s="7" t="s">
        <v>30</v>
      </c>
      <c r="B11">
        <v>2</v>
      </c>
    </row>
    <row r="12" spans="1:2" x14ac:dyDescent="0.35">
      <c r="A12" s="7" t="s">
        <v>88</v>
      </c>
      <c r="B12">
        <v>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D6FC-CC96-475D-AAFE-0B9411F26AC1}">
  <dimension ref="A3:B8"/>
  <sheetViews>
    <sheetView workbookViewId="0">
      <selection activeCell="K6" sqref="K6"/>
    </sheetView>
  </sheetViews>
  <sheetFormatPr defaultRowHeight="14.5" x14ac:dyDescent="0.35"/>
  <cols>
    <col min="1" max="1" width="12.36328125" bestFit="1" customWidth="1"/>
    <col min="2" max="2" width="17.90625" bestFit="1" customWidth="1"/>
  </cols>
  <sheetData>
    <row r="3" spans="1:2" x14ac:dyDescent="0.35">
      <c r="A3" s="6" t="s">
        <v>87</v>
      </c>
      <c r="B3" t="s">
        <v>90</v>
      </c>
    </row>
    <row r="4" spans="1:2" x14ac:dyDescent="0.35">
      <c r="A4" s="7" t="s">
        <v>22</v>
      </c>
      <c r="B4">
        <v>2470</v>
      </c>
    </row>
    <row r="5" spans="1:2" x14ac:dyDescent="0.35">
      <c r="A5" s="7" t="s">
        <v>43</v>
      </c>
      <c r="B5">
        <v>1650</v>
      </c>
    </row>
    <row r="6" spans="1:2" x14ac:dyDescent="0.35">
      <c r="A6" s="7" t="s">
        <v>15</v>
      </c>
      <c r="B6">
        <v>2140</v>
      </c>
    </row>
    <row r="7" spans="1:2" x14ac:dyDescent="0.35">
      <c r="A7" s="7" t="s">
        <v>27</v>
      </c>
      <c r="B7">
        <v>2330</v>
      </c>
    </row>
    <row r="8" spans="1:2" x14ac:dyDescent="0.35">
      <c r="A8" s="7" t="s">
        <v>88</v>
      </c>
      <c r="B8">
        <v>8590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78B0-FA4A-4CBE-8BB9-672ED9056BA4}">
  <dimension ref="A1:B7"/>
  <sheetViews>
    <sheetView zoomScale="78" workbookViewId="0">
      <selection activeCell="B6" sqref="B6"/>
    </sheetView>
  </sheetViews>
  <sheetFormatPr defaultRowHeight="14.5" x14ac:dyDescent="0.35"/>
  <cols>
    <col min="1" max="1" width="13.26953125" bestFit="1" customWidth="1"/>
    <col min="2" max="2" width="16.36328125" bestFit="1" customWidth="1"/>
  </cols>
  <sheetData>
    <row r="1" spans="1:2" x14ac:dyDescent="0.35">
      <c r="A1" s="6" t="s">
        <v>87</v>
      </c>
      <c r="B1" t="s">
        <v>89</v>
      </c>
    </row>
    <row r="2" spans="1:2" x14ac:dyDescent="0.35">
      <c r="A2" s="7" t="s">
        <v>36</v>
      </c>
      <c r="B2">
        <v>3</v>
      </c>
    </row>
    <row r="3" spans="1:2" x14ac:dyDescent="0.35">
      <c r="A3" s="7" t="s">
        <v>39</v>
      </c>
      <c r="B3">
        <v>2</v>
      </c>
    </row>
    <row r="4" spans="1:2" x14ac:dyDescent="0.35">
      <c r="A4" s="7" t="s">
        <v>31</v>
      </c>
      <c r="B4">
        <v>4</v>
      </c>
    </row>
    <row r="5" spans="1:2" x14ac:dyDescent="0.35">
      <c r="A5" s="7" t="s">
        <v>14</v>
      </c>
      <c r="B5">
        <v>8</v>
      </c>
    </row>
    <row r="6" spans="1:2" x14ac:dyDescent="0.35">
      <c r="A6" s="7" t="s">
        <v>21</v>
      </c>
      <c r="B6">
        <v>3</v>
      </c>
    </row>
    <row r="7" spans="1:2" x14ac:dyDescent="0.35">
      <c r="A7" s="7" t="s">
        <v>88</v>
      </c>
      <c r="B7">
        <v>20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AD1D-9666-4E93-93AB-639BE955AE18}">
  <dimension ref="A1:B10"/>
  <sheetViews>
    <sheetView workbookViewId="0">
      <selection activeCell="K16" sqref="K16"/>
    </sheetView>
  </sheetViews>
  <sheetFormatPr defaultRowHeight="14.5" x14ac:dyDescent="0.35"/>
  <cols>
    <col min="1" max="1" width="16.1796875" bestFit="1" customWidth="1"/>
    <col min="2" max="2" width="22.26953125" bestFit="1" customWidth="1"/>
  </cols>
  <sheetData>
    <row r="1" spans="1:2" x14ac:dyDescent="0.35">
      <c r="A1" s="6" t="s">
        <v>87</v>
      </c>
      <c r="B1" t="s">
        <v>91</v>
      </c>
    </row>
    <row r="2" spans="1:2" x14ac:dyDescent="0.35">
      <c r="A2" s="7" t="s">
        <v>70</v>
      </c>
      <c r="B2">
        <v>29.333333333333332</v>
      </c>
    </row>
    <row r="3" spans="1:2" x14ac:dyDescent="0.35">
      <c r="A3" s="7" t="s">
        <v>48</v>
      </c>
      <c r="B3">
        <v>19</v>
      </c>
    </row>
    <row r="4" spans="1:2" x14ac:dyDescent="0.35">
      <c r="A4" s="7" t="s">
        <v>42</v>
      </c>
      <c r="B4">
        <v>38.5</v>
      </c>
    </row>
    <row r="5" spans="1:2" x14ac:dyDescent="0.35">
      <c r="A5" s="7" t="s">
        <v>38</v>
      </c>
      <c r="B5">
        <v>25.5</v>
      </c>
    </row>
    <row r="6" spans="1:2" x14ac:dyDescent="0.35">
      <c r="A6" s="7" t="s">
        <v>13</v>
      </c>
      <c r="B6">
        <v>27</v>
      </c>
    </row>
    <row r="7" spans="1:2" x14ac:dyDescent="0.35">
      <c r="A7" s="7" t="s">
        <v>35</v>
      </c>
      <c r="B7">
        <v>50.666666666666664</v>
      </c>
    </row>
    <row r="8" spans="1:2" x14ac:dyDescent="0.35">
      <c r="A8" s="7" t="s">
        <v>20</v>
      </c>
      <c r="B8">
        <v>43.333333333333336</v>
      </c>
    </row>
    <row r="9" spans="1:2" x14ac:dyDescent="0.35">
      <c r="A9" s="7" t="s">
        <v>30</v>
      </c>
      <c r="B9">
        <v>35</v>
      </c>
    </row>
    <row r="10" spans="1:2" x14ac:dyDescent="0.35">
      <c r="A10" s="7" t="s">
        <v>88</v>
      </c>
      <c r="B10">
        <v>34.315789473684212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E832-E739-4C0B-8C82-17B6BD683C74}">
  <dimension ref="A1:S56"/>
  <sheetViews>
    <sheetView tabSelected="1" topLeftCell="F1" zoomScale="60" zoomScaleNormal="104" workbookViewId="0">
      <selection activeCell="L35" sqref="L35"/>
    </sheetView>
  </sheetViews>
  <sheetFormatPr defaultRowHeight="14.5" x14ac:dyDescent="0.35"/>
  <cols>
    <col min="1" max="1" width="10.26953125" customWidth="1"/>
    <col min="2" max="2" width="12.36328125" customWidth="1"/>
    <col min="3" max="3" width="13.453125" customWidth="1"/>
    <col min="4" max="4" width="20.7265625" customWidth="1"/>
    <col min="5" max="5" width="20.6328125" customWidth="1"/>
    <col min="6" max="6" width="24.36328125" customWidth="1"/>
    <col min="7" max="7" width="13.26953125" customWidth="1"/>
    <col min="8" max="8" width="14.7265625" customWidth="1"/>
    <col min="9" max="9" width="12.54296875" customWidth="1"/>
    <col min="10" max="10" width="15.90625" customWidth="1"/>
    <col min="11" max="11" width="13.54296875" customWidth="1"/>
    <col min="12" max="13" width="14.453125" customWidth="1"/>
    <col min="14" max="14" width="11.1796875" customWidth="1"/>
    <col min="15" max="15" width="30.90625" customWidth="1"/>
    <col min="16" max="16" width="11.5429687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3" t="s">
        <v>92</v>
      </c>
    </row>
    <row r="2" spans="1:12" ht="36" customHeight="1" x14ac:dyDescent="0.35">
      <c r="A2" s="4" t="s">
        <v>11</v>
      </c>
      <c r="B2" s="5">
        <v>46235</v>
      </c>
      <c r="C2" s="4" t="s">
        <v>12</v>
      </c>
      <c r="D2" s="4" t="s">
        <v>13</v>
      </c>
      <c r="E2" s="4" t="s">
        <v>14</v>
      </c>
      <c r="F2" s="4" t="s">
        <v>15</v>
      </c>
      <c r="G2" s="2">
        <v>280</v>
      </c>
      <c r="H2" s="2">
        <v>25</v>
      </c>
      <c r="I2" s="2">
        <v>4.5</v>
      </c>
      <c r="J2" s="4" t="s">
        <v>16</v>
      </c>
      <c r="K2" s="4" t="s">
        <v>17</v>
      </c>
      <c r="L2" s="2" t="str">
        <f t="shared" ref="L2:L21" si="0">IF(H2="","Missing",IF(H2&gt;40,"Delayed","On_Time"))</f>
        <v>On_Time</v>
      </c>
    </row>
    <row r="3" spans="1:12" x14ac:dyDescent="0.35">
      <c r="A3" s="4" t="s">
        <v>18</v>
      </c>
      <c r="B3" s="5">
        <v>46235</v>
      </c>
      <c r="C3" s="4" t="s">
        <v>19</v>
      </c>
      <c r="D3" s="4" t="s">
        <v>20</v>
      </c>
      <c r="E3" s="4" t="s">
        <v>21</v>
      </c>
      <c r="F3" s="4" t="s">
        <v>22</v>
      </c>
      <c r="G3" s="2">
        <v>520</v>
      </c>
      <c r="H3" s="2">
        <v>38</v>
      </c>
      <c r="I3" s="2">
        <v>4.0999999999999996</v>
      </c>
      <c r="J3" s="4" t="s">
        <v>23</v>
      </c>
      <c r="K3" s="4" t="s">
        <v>17</v>
      </c>
      <c r="L3" s="2" t="str">
        <f t="shared" si="0"/>
        <v>On_Time</v>
      </c>
    </row>
    <row r="4" spans="1:12" x14ac:dyDescent="0.35">
      <c r="A4" s="4" t="s">
        <v>24</v>
      </c>
      <c r="B4" s="5">
        <v>46236</v>
      </c>
      <c r="C4" s="4" t="s">
        <v>25</v>
      </c>
      <c r="D4" s="4" t="s">
        <v>70</v>
      </c>
      <c r="E4" s="4" t="s">
        <v>14</v>
      </c>
      <c r="F4" s="4" t="s">
        <v>27</v>
      </c>
      <c r="G4" s="2">
        <v>350</v>
      </c>
      <c r="H4" s="2">
        <v>30</v>
      </c>
      <c r="I4" s="2">
        <v>4.7</v>
      </c>
      <c r="J4" s="4" t="s">
        <v>16</v>
      </c>
      <c r="K4" s="4" t="s">
        <v>17</v>
      </c>
      <c r="L4" s="2" t="str">
        <f t="shared" si="0"/>
        <v>On_Time</v>
      </c>
    </row>
    <row r="5" spans="1:12" x14ac:dyDescent="0.35">
      <c r="A5" s="4" t="s">
        <v>28</v>
      </c>
      <c r="B5" s="5">
        <v>46236</v>
      </c>
      <c r="C5" s="4" t="s">
        <v>29</v>
      </c>
      <c r="D5" s="4" t="s">
        <v>30</v>
      </c>
      <c r="E5" s="4" t="s">
        <v>31</v>
      </c>
      <c r="F5" s="4" t="s">
        <v>15</v>
      </c>
      <c r="G5" s="2">
        <v>420</v>
      </c>
      <c r="H5" s="2">
        <v>35</v>
      </c>
      <c r="I5" s="2">
        <v>4.2</v>
      </c>
      <c r="J5" s="4" t="s">
        <v>32</v>
      </c>
      <c r="K5" s="4" t="s">
        <v>17</v>
      </c>
      <c r="L5" s="2" t="str">
        <f t="shared" si="0"/>
        <v>On_Time</v>
      </c>
    </row>
    <row r="6" spans="1:12" x14ac:dyDescent="0.35">
      <c r="A6" s="4" t="s">
        <v>33</v>
      </c>
      <c r="B6" s="5">
        <v>46237</v>
      </c>
      <c r="C6" s="4" t="s">
        <v>34</v>
      </c>
      <c r="D6" s="4" t="s">
        <v>35</v>
      </c>
      <c r="E6" s="4" t="s">
        <v>36</v>
      </c>
      <c r="F6" s="4" t="s">
        <v>22</v>
      </c>
      <c r="G6" s="2">
        <v>480</v>
      </c>
      <c r="H6" s="2">
        <v>45</v>
      </c>
      <c r="I6" s="2">
        <v>3.8</v>
      </c>
      <c r="J6" s="4" t="s">
        <v>16</v>
      </c>
      <c r="K6" s="4" t="s">
        <v>17</v>
      </c>
      <c r="L6" s="2" t="str">
        <f t="shared" si="0"/>
        <v>Delayed</v>
      </c>
    </row>
    <row r="7" spans="1:12" x14ac:dyDescent="0.35">
      <c r="A7" s="4" t="s">
        <v>37</v>
      </c>
      <c r="B7" s="5">
        <v>46237</v>
      </c>
      <c r="C7" s="4" t="s">
        <v>12</v>
      </c>
      <c r="D7" s="4" t="s">
        <v>38</v>
      </c>
      <c r="E7" s="4" t="s">
        <v>39</v>
      </c>
      <c r="F7" s="4" t="s">
        <v>15</v>
      </c>
      <c r="G7" s="2">
        <v>260</v>
      </c>
      <c r="H7" s="2">
        <v>22</v>
      </c>
      <c r="I7" s="2">
        <v>4.5999999999999996</v>
      </c>
      <c r="J7" s="4" t="s">
        <v>23</v>
      </c>
      <c r="K7" s="4" t="s">
        <v>17</v>
      </c>
      <c r="L7" s="2" t="str">
        <f t="shared" si="0"/>
        <v>On_Time</v>
      </c>
    </row>
    <row r="8" spans="1:12" x14ac:dyDescent="0.35">
      <c r="A8" s="4" t="s">
        <v>40</v>
      </c>
      <c r="B8" s="5">
        <v>46238</v>
      </c>
      <c r="C8" s="4" t="s">
        <v>41</v>
      </c>
      <c r="D8" s="4" t="s">
        <v>42</v>
      </c>
      <c r="E8" s="4" t="s">
        <v>14</v>
      </c>
      <c r="F8" s="4" t="s">
        <v>43</v>
      </c>
      <c r="G8" s="2">
        <v>650</v>
      </c>
      <c r="H8" s="2">
        <v>40</v>
      </c>
      <c r="I8" s="2">
        <v>4.3</v>
      </c>
      <c r="J8" s="4" t="s">
        <v>16</v>
      </c>
      <c r="K8" s="4" t="s">
        <v>17</v>
      </c>
      <c r="L8" s="2" t="str">
        <f t="shared" si="0"/>
        <v>On_Time</v>
      </c>
    </row>
    <row r="9" spans="1:12" x14ac:dyDescent="0.35">
      <c r="A9" s="4" t="s">
        <v>44</v>
      </c>
      <c r="B9" s="5">
        <v>46238</v>
      </c>
      <c r="C9" s="4" t="s">
        <v>45</v>
      </c>
      <c r="D9" s="4" t="s">
        <v>20</v>
      </c>
      <c r="E9" s="4" t="s">
        <v>21</v>
      </c>
      <c r="F9" s="4" t="s">
        <v>27</v>
      </c>
      <c r="G9" s="2">
        <v>550</v>
      </c>
      <c r="H9" s="2">
        <v>48</v>
      </c>
      <c r="I9" s="2"/>
      <c r="J9" s="4" t="s">
        <v>23</v>
      </c>
      <c r="K9" s="4" t="s">
        <v>17</v>
      </c>
      <c r="L9" s="2" t="str">
        <f t="shared" si="0"/>
        <v>Delayed</v>
      </c>
    </row>
    <row r="10" spans="1:12" x14ac:dyDescent="0.35">
      <c r="A10" s="4" t="s">
        <v>46</v>
      </c>
      <c r="B10" s="5">
        <v>46239</v>
      </c>
      <c r="C10" s="4" t="s">
        <v>47</v>
      </c>
      <c r="D10" s="4" t="s">
        <v>48</v>
      </c>
      <c r="E10" s="4" t="s">
        <v>31</v>
      </c>
      <c r="F10" s="4" t="s">
        <v>15</v>
      </c>
      <c r="G10" s="2">
        <v>180</v>
      </c>
      <c r="H10" s="2">
        <v>18</v>
      </c>
      <c r="I10" s="2">
        <v>4.8</v>
      </c>
      <c r="J10" s="4" t="s">
        <v>16</v>
      </c>
      <c r="K10" s="4" t="s">
        <v>17</v>
      </c>
      <c r="L10" s="2" t="str">
        <f t="shared" si="0"/>
        <v>On_Time</v>
      </c>
    </row>
    <row r="11" spans="1:12" x14ac:dyDescent="0.35">
      <c r="A11" s="4" t="s">
        <v>49</v>
      </c>
      <c r="B11" s="5">
        <v>46239</v>
      </c>
      <c r="C11" s="4" t="s">
        <v>50</v>
      </c>
      <c r="D11" s="4" t="s">
        <v>35</v>
      </c>
      <c r="E11" s="4" t="s">
        <v>36</v>
      </c>
      <c r="F11" s="4" t="s">
        <v>22</v>
      </c>
      <c r="G11" s="2">
        <v>720</v>
      </c>
      <c r="H11" s="2">
        <v>55</v>
      </c>
      <c r="I11" s="2">
        <v>3.4</v>
      </c>
      <c r="J11" s="4" t="s">
        <v>23</v>
      </c>
      <c r="K11" s="4" t="s">
        <v>17</v>
      </c>
      <c r="L11" s="2" t="str">
        <f t="shared" si="0"/>
        <v>Delayed</v>
      </c>
    </row>
    <row r="12" spans="1:12" x14ac:dyDescent="0.35">
      <c r="A12" s="4" t="s">
        <v>51</v>
      </c>
      <c r="B12" s="5">
        <v>46240</v>
      </c>
      <c r="C12" s="4" t="s">
        <v>52</v>
      </c>
      <c r="D12" s="4" t="s">
        <v>70</v>
      </c>
      <c r="E12" s="4" t="s">
        <v>14</v>
      </c>
      <c r="F12" s="4" t="s">
        <v>27</v>
      </c>
      <c r="G12" s="2">
        <v>390</v>
      </c>
      <c r="H12" s="2">
        <v>27</v>
      </c>
      <c r="I12" s="2">
        <v>4.5999999999999996</v>
      </c>
      <c r="J12" s="4" t="s">
        <v>16</v>
      </c>
      <c r="K12" s="4" t="s">
        <v>17</v>
      </c>
      <c r="L12" s="2" t="str">
        <f t="shared" si="0"/>
        <v>On_Time</v>
      </c>
    </row>
    <row r="13" spans="1:12" x14ac:dyDescent="0.35">
      <c r="A13" s="4" t="s">
        <v>53</v>
      </c>
      <c r="B13" s="5">
        <v>46240</v>
      </c>
      <c r="C13" s="4" t="s">
        <v>54</v>
      </c>
      <c r="D13" s="4" t="s">
        <v>13</v>
      </c>
      <c r="E13" s="4" t="s">
        <v>14</v>
      </c>
      <c r="F13" s="4" t="s">
        <v>43</v>
      </c>
      <c r="G13" s="2">
        <v>240</v>
      </c>
      <c r="H13" s="2">
        <v>32</v>
      </c>
      <c r="I13" s="2">
        <v>4.4000000000000004</v>
      </c>
      <c r="J13" s="4" t="s">
        <v>32</v>
      </c>
      <c r="K13" s="4" t="s">
        <v>17</v>
      </c>
      <c r="L13" s="2" t="str">
        <f t="shared" si="0"/>
        <v>On_Time</v>
      </c>
    </row>
    <row r="14" spans="1:12" x14ac:dyDescent="0.35">
      <c r="A14" s="4" t="s">
        <v>55</v>
      </c>
      <c r="B14" s="5">
        <v>46241</v>
      </c>
      <c r="C14" s="4" t="s">
        <v>56</v>
      </c>
      <c r="D14" s="4" t="s">
        <v>30</v>
      </c>
      <c r="E14" s="4" t="s">
        <v>31</v>
      </c>
      <c r="F14" s="4" t="s">
        <v>27</v>
      </c>
      <c r="G14" s="2">
        <v>450</v>
      </c>
      <c r="H14" s="2"/>
      <c r="I14" s="2">
        <v>4</v>
      </c>
      <c r="J14" s="4" t="s">
        <v>16</v>
      </c>
      <c r="K14" s="4" t="s">
        <v>17</v>
      </c>
      <c r="L14" s="2" t="str">
        <f t="shared" si="0"/>
        <v>Missing</v>
      </c>
    </row>
    <row r="15" spans="1:12" x14ac:dyDescent="0.35">
      <c r="A15" s="4" t="s">
        <v>57</v>
      </c>
      <c r="B15" s="5">
        <v>46241</v>
      </c>
      <c r="C15" s="4" t="s">
        <v>58</v>
      </c>
      <c r="D15" s="4" t="s">
        <v>38</v>
      </c>
      <c r="E15" s="4" t="s">
        <v>39</v>
      </c>
      <c r="F15" s="4" t="s">
        <v>22</v>
      </c>
      <c r="G15" s="2">
        <v>320</v>
      </c>
      <c r="H15" s="2">
        <v>29</v>
      </c>
      <c r="I15" s="2">
        <v>4.5</v>
      </c>
      <c r="J15" s="4" t="s">
        <v>23</v>
      </c>
      <c r="K15" s="4" t="s">
        <v>17</v>
      </c>
      <c r="L15" s="2" t="str">
        <f t="shared" si="0"/>
        <v>On_Time</v>
      </c>
    </row>
    <row r="16" spans="1:12" x14ac:dyDescent="0.35">
      <c r="A16" s="4" t="s">
        <v>59</v>
      </c>
      <c r="B16" s="5">
        <v>46242</v>
      </c>
      <c r="C16" s="4" t="s">
        <v>60</v>
      </c>
      <c r="D16" s="4" t="s">
        <v>42</v>
      </c>
      <c r="E16" s="4" t="s">
        <v>14</v>
      </c>
      <c r="F16" s="4" t="s">
        <v>15</v>
      </c>
      <c r="G16" s="2">
        <v>700</v>
      </c>
      <c r="H16" s="2">
        <v>37</v>
      </c>
      <c r="I16" s="2">
        <v>4.2</v>
      </c>
      <c r="J16" s="4" t="s">
        <v>16</v>
      </c>
      <c r="K16" s="4" t="s">
        <v>17</v>
      </c>
      <c r="L16" s="2" t="str">
        <f t="shared" si="0"/>
        <v>On_Time</v>
      </c>
    </row>
    <row r="17" spans="1:19" x14ac:dyDescent="0.35">
      <c r="A17" s="4" t="s">
        <v>61</v>
      </c>
      <c r="B17" s="5">
        <v>46242</v>
      </c>
      <c r="C17" s="4" t="s">
        <v>62</v>
      </c>
      <c r="D17" s="4" t="s">
        <v>48</v>
      </c>
      <c r="E17" s="4" t="s">
        <v>31</v>
      </c>
      <c r="F17" s="4" t="s">
        <v>43</v>
      </c>
      <c r="G17" s="2">
        <v>150</v>
      </c>
      <c r="H17" s="2">
        <v>20</v>
      </c>
      <c r="I17" s="2">
        <v>4.7</v>
      </c>
      <c r="J17" s="4" t="s">
        <v>32</v>
      </c>
      <c r="K17" s="4" t="s">
        <v>17</v>
      </c>
      <c r="L17" s="2" t="str">
        <f t="shared" si="0"/>
        <v>On_Time</v>
      </c>
    </row>
    <row r="18" spans="1:19" x14ac:dyDescent="0.35">
      <c r="A18" s="4" t="s">
        <v>63</v>
      </c>
      <c r="B18" s="5">
        <v>46243</v>
      </c>
      <c r="C18" s="4" t="s">
        <v>64</v>
      </c>
      <c r="D18" s="4" t="s">
        <v>35</v>
      </c>
      <c r="E18" s="4" t="s">
        <v>36</v>
      </c>
      <c r="F18" s="4" t="s">
        <v>27</v>
      </c>
      <c r="G18" s="2">
        <v>590</v>
      </c>
      <c r="H18" s="2">
        <v>52</v>
      </c>
      <c r="I18" s="2">
        <v>3.5</v>
      </c>
      <c r="J18" s="4" t="s">
        <v>16</v>
      </c>
      <c r="K18" s="4" t="s">
        <v>17</v>
      </c>
      <c r="L18" s="2" t="str">
        <f t="shared" si="0"/>
        <v>Delayed</v>
      </c>
    </row>
    <row r="19" spans="1:19" x14ac:dyDescent="0.35">
      <c r="A19" s="4" t="s">
        <v>65</v>
      </c>
      <c r="B19" s="5">
        <v>46243</v>
      </c>
      <c r="C19" s="4" t="s">
        <v>66</v>
      </c>
      <c r="D19" s="4" t="s">
        <v>70</v>
      </c>
      <c r="E19" s="4" t="s">
        <v>14</v>
      </c>
      <c r="F19" s="4" t="s">
        <v>22</v>
      </c>
      <c r="G19" s="2">
        <v>430</v>
      </c>
      <c r="H19" s="2">
        <v>31</v>
      </c>
      <c r="I19" s="2">
        <v>4.5999999999999996</v>
      </c>
      <c r="J19" s="4" t="s">
        <v>23</v>
      </c>
      <c r="K19" s="4" t="s">
        <v>17</v>
      </c>
      <c r="L19" s="2" t="str">
        <f t="shared" si="0"/>
        <v>On_Time</v>
      </c>
    </row>
    <row r="20" spans="1:19" x14ac:dyDescent="0.35">
      <c r="A20" s="4" t="s">
        <v>67</v>
      </c>
      <c r="B20" s="5">
        <v>46244</v>
      </c>
      <c r="C20" s="4" t="s">
        <v>68</v>
      </c>
      <c r="D20" s="4" t="s">
        <v>20</v>
      </c>
      <c r="E20" s="4" t="s">
        <v>21</v>
      </c>
      <c r="F20" s="4" t="s">
        <v>43</v>
      </c>
      <c r="G20" s="2">
        <v>610</v>
      </c>
      <c r="H20" s="2">
        <v>44</v>
      </c>
      <c r="I20" s="2">
        <v>3.9</v>
      </c>
      <c r="J20" s="4" t="s">
        <v>16</v>
      </c>
      <c r="K20" s="4" t="s">
        <v>17</v>
      </c>
      <c r="L20" s="2" t="str">
        <f t="shared" si="0"/>
        <v>Delayed</v>
      </c>
    </row>
    <row r="21" spans="1:19" x14ac:dyDescent="0.35">
      <c r="A21" s="4" t="s">
        <v>69</v>
      </c>
      <c r="B21" s="5">
        <v>46244</v>
      </c>
      <c r="C21" s="4" t="s">
        <v>12</v>
      </c>
      <c r="D21" s="4" t="s">
        <v>13</v>
      </c>
      <c r="E21" s="4" t="s">
        <v>14</v>
      </c>
      <c r="F21" s="4" t="s">
        <v>15</v>
      </c>
      <c r="G21" s="2">
        <v>300</v>
      </c>
      <c r="H21" s="2">
        <v>24</v>
      </c>
      <c r="I21" s="2">
        <v>4.8</v>
      </c>
      <c r="J21" s="4" t="s">
        <v>16</v>
      </c>
      <c r="K21" s="4" t="s">
        <v>17</v>
      </c>
      <c r="L21" s="2" t="str">
        <f t="shared" si="0"/>
        <v>On_Time</v>
      </c>
    </row>
    <row r="22" spans="1:19" x14ac:dyDescent="0.35">
      <c r="A22" s="4"/>
      <c r="B22" s="5"/>
      <c r="C22" s="4"/>
      <c r="D22" s="4"/>
      <c r="K22" s="4"/>
    </row>
    <row r="26" spans="1:19" x14ac:dyDescent="0.35">
      <c r="N26" s="4"/>
      <c r="S26" s="4"/>
    </row>
    <row r="27" spans="1:19" x14ac:dyDescent="0.35">
      <c r="O27" s="4" t="s">
        <v>71</v>
      </c>
      <c r="P27" s="2">
        <f>SUM(Table13[Order_Value])</f>
        <v>8590</v>
      </c>
      <c r="Q27" s="2">
        <f>SUM(Table13[Delivery_Time])</f>
        <v>652</v>
      </c>
      <c r="R27" s="2">
        <f>SUM(Table13[Rating])</f>
        <v>81.599999999999994</v>
      </c>
    </row>
    <row r="28" spans="1:19" x14ac:dyDescent="0.35">
      <c r="O28" t="s">
        <v>72</v>
      </c>
      <c r="P28">
        <f>AVERAGE(Table13[Order_Value])</f>
        <v>429.5</v>
      </c>
      <c r="Q28">
        <f>AVERAGE(Table13[Delivery_Time])</f>
        <v>34.315789473684212</v>
      </c>
      <c r="R28">
        <f>AVERAGE(Table13[Rating])</f>
        <v>4.2947368421052632</v>
      </c>
    </row>
    <row r="29" spans="1:19" x14ac:dyDescent="0.35">
      <c r="O29" t="s">
        <v>73</v>
      </c>
      <c r="P29">
        <f>MAX(Table13[Order_Value])</f>
        <v>720</v>
      </c>
      <c r="Q29">
        <f>MAX(Table13[Delivery_Time])</f>
        <v>55</v>
      </c>
      <c r="R29">
        <f>MAX(Table13[Rating])</f>
        <v>4.8</v>
      </c>
    </row>
    <row r="30" spans="1:19" x14ac:dyDescent="0.35">
      <c r="O30" t="s">
        <v>74</v>
      </c>
      <c r="P30">
        <f>MIN(Table13[Order_Value])</f>
        <v>150</v>
      </c>
      <c r="Q30">
        <f>MIN(Table13[Delivery_Time])</f>
        <v>18</v>
      </c>
      <c r="R30">
        <f>MIN(Table13[Rating])</f>
        <v>3.4</v>
      </c>
    </row>
    <row r="31" spans="1:19" x14ac:dyDescent="0.35">
      <c r="O31" t="s">
        <v>75</v>
      </c>
      <c r="P31">
        <f>COUNT(Table13[Order_Value])</f>
        <v>20</v>
      </c>
      <c r="Q31">
        <f>COUNT(Table13[Delivery_Time])</f>
        <v>19</v>
      </c>
      <c r="R31">
        <f>COUNT(Table13[Rating])</f>
        <v>19</v>
      </c>
    </row>
    <row r="32" spans="1:19" x14ac:dyDescent="0.35">
      <c r="O32" t="s">
        <v>76</v>
      </c>
      <c r="P32">
        <f>COUNTA(Table13[Order_Value])</f>
        <v>20</v>
      </c>
      <c r="Q32">
        <f>COUNTA(Table13[Delivery_Time])</f>
        <v>19</v>
      </c>
      <c r="R32">
        <f>COUNTA(Table13[Rating])</f>
        <v>19</v>
      </c>
    </row>
    <row r="36" spans="15:16" x14ac:dyDescent="0.35">
      <c r="O36" t="s">
        <v>81</v>
      </c>
      <c r="P36">
        <f>SUMIF(Table13[Area],"Baner",Table13[Order_Value])</f>
        <v>2470</v>
      </c>
    </row>
    <row r="37" spans="15:16" x14ac:dyDescent="0.35">
      <c r="O37" t="s">
        <v>82</v>
      </c>
      <c r="P37">
        <f>SUMIF(Table13[Area],"Kothrud",Table13[Order_Value])</f>
        <v>2140</v>
      </c>
    </row>
    <row r="38" spans="15:16" x14ac:dyDescent="0.35">
      <c r="O38" t="s">
        <v>83</v>
      </c>
      <c r="P38">
        <f>SUMIF(Table13[Payment_Mode],"UPI",Table13[Order_Value])</f>
        <v>4980</v>
      </c>
    </row>
    <row r="39" spans="15:16" x14ac:dyDescent="0.35">
      <c r="O39" t="s">
        <v>84</v>
      </c>
      <c r="P39">
        <f>SUMIF(Table13[Category],"Maharashtrian",Table13[Order_Value])</f>
        <v>3340</v>
      </c>
    </row>
    <row r="42" spans="15:16" x14ac:dyDescent="0.35">
      <c r="O42" t="s">
        <v>85</v>
      </c>
      <c r="P42">
        <f>AVERAGEIF(Table13[Area],"Kothrud",Table13[Rating])</f>
        <v>4.5166666666666666</v>
      </c>
    </row>
    <row r="43" spans="15:16" x14ac:dyDescent="0.35">
      <c r="O43" t="s">
        <v>86</v>
      </c>
      <c r="P43">
        <f>AVERAGEIF(Table13[Area],"Baner",Table13[Delivery_Time])</f>
        <v>39.6</v>
      </c>
    </row>
    <row r="47" spans="15:16" x14ac:dyDescent="0.35">
      <c r="O47" t="s">
        <v>77</v>
      </c>
      <c r="P47">
        <f>COUNTIF(Table13[Area],"Kothrud")</f>
        <v>6</v>
      </c>
    </row>
    <row r="48" spans="15:16" x14ac:dyDescent="0.35">
      <c r="O48" t="s">
        <v>78</v>
      </c>
      <c r="P48">
        <f>COUNTIF(Table13[Area],"Baner")</f>
        <v>5</v>
      </c>
    </row>
    <row r="49" spans="15:16" x14ac:dyDescent="0.35">
      <c r="O49" t="s">
        <v>79</v>
      </c>
      <c r="P49">
        <f>COUNTIF(Table13[Payment_Mode],"UPI")</f>
        <v>11</v>
      </c>
    </row>
    <row r="50" spans="15:16" x14ac:dyDescent="0.35">
      <c r="O50" t="s">
        <v>80</v>
      </c>
      <c r="P50">
        <f>COUNTIF(Table13[Category],"Maharashtrian")</f>
        <v>8</v>
      </c>
    </row>
    <row r="53" spans="15:16" x14ac:dyDescent="0.35">
      <c r="O53" t="s">
        <v>93</v>
      </c>
      <c r="P53">
        <f>COUNTIF(Table13[Delivery_Status],"Delayed")</f>
        <v>5</v>
      </c>
    </row>
    <row r="54" spans="15:16" x14ac:dyDescent="0.35">
      <c r="O54" t="s">
        <v>94</v>
      </c>
      <c r="P54">
        <f>COUNTIF(Table13[Delivery_Status],"On_Time")</f>
        <v>14</v>
      </c>
    </row>
    <row r="55" spans="15:16" x14ac:dyDescent="0.35">
      <c r="O55" t="s">
        <v>95</v>
      </c>
      <c r="P55">
        <f>COUNTIF(Table13[Delivery_Status],"Missing")</f>
        <v>1</v>
      </c>
    </row>
    <row r="56" spans="15:16" x14ac:dyDescent="0.35">
      <c r="O56" t="s">
        <v>71</v>
      </c>
      <c r="P56">
        <f>SUM(P53:P55)</f>
        <v>20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opLeftCell="A8" zoomScale="69" workbookViewId="0">
      <selection sqref="A1:K21"/>
    </sheetView>
  </sheetViews>
  <sheetFormatPr defaultRowHeight="14.5" x14ac:dyDescent="0.35"/>
  <cols>
    <col min="1" max="1" width="10.26953125" customWidth="1"/>
    <col min="2" max="2" width="12.36328125" customWidth="1"/>
    <col min="3" max="3" width="13.453125" customWidth="1"/>
    <col min="4" max="4" width="12.7265625" customWidth="1"/>
    <col min="5" max="5" width="14" customWidth="1"/>
    <col min="6" max="6" width="12.54296875" customWidth="1"/>
    <col min="7" max="7" width="13.26953125" customWidth="1"/>
    <col min="8" max="8" width="14.7265625" customWidth="1"/>
    <col min="9" max="9" width="12.54296875" customWidth="1"/>
    <col min="10" max="10" width="15.90625" customWidth="1"/>
    <col min="11" max="11" width="13.54296875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pans="1:11" ht="43.5" x14ac:dyDescent="0.35">
      <c r="A2" s="4" t="s">
        <v>11</v>
      </c>
      <c r="B2" s="5">
        <v>46235</v>
      </c>
      <c r="C2" s="4" t="s">
        <v>12</v>
      </c>
      <c r="D2" s="4" t="s">
        <v>13</v>
      </c>
      <c r="E2" s="4" t="s">
        <v>14</v>
      </c>
      <c r="F2" s="4" t="s">
        <v>15</v>
      </c>
      <c r="G2" s="2">
        <v>280</v>
      </c>
      <c r="H2" s="2">
        <v>25</v>
      </c>
      <c r="I2" s="2">
        <v>4.5</v>
      </c>
      <c r="J2" s="4" t="s">
        <v>16</v>
      </c>
      <c r="K2" s="4" t="s">
        <v>17</v>
      </c>
    </row>
    <row r="3" spans="1:11" ht="29" x14ac:dyDescent="0.35">
      <c r="A3" s="4" t="s">
        <v>18</v>
      </c>
      <c r="B3" s="5">
        <v>46235</v>
      </c>
      <c r="C3" s="4" t="s">
        <v>19</v>
      </c>
      <c r="D3" s="4" t="s">
        <v>20</v>
      </c>
      <c r="E3" s="4" t="s">
        <v>21</v>
      </c>
      <c r="F3" s="4" t="s">
        <v>22</v>
      </c>
      <c r="G3" s="2">
        <v>520</v>
      </c>
      <c r="H3" s="2">
        <v>38</v>
      </c>
      <c r="I3" s="2">
        <v>4.0999999999999996</v>
      </c>
      <c r="J3" s="4" t="s">
        <v>23</v>
      </c>
      <c r="K3" s="4" t="s">
        <v>17</v>
      </c>
    </row>
    <row r="4" spans="1:11" ht="29" x14ac:dyDescent="0.35">
      <c r="A4" s="4" t="s">
        <v>24</v>
      </c>
      <c r="B4" s="5">
        <v>46236</v>
      </c>
      <c r="C4" s="4" t="s">
        <v>25</v>
      </c>
      <c r="D4" s="4" t="s">
        <v>26</v>
      </c>
      <c r="E4" s="4" t="s">
        <v>14</v>
      </c>
      <c r="F4" s="4" t="s">
        <v>27</v>
      </c>
      <c r="G4" s="2">
        <v>350</v>
      </c>
      <c r="H4" s="2">
        <v>30</v>
      </c>
      <c r="I4" s="2">
        <v>4.7</v>
      </c>
      <c r="J4" s="4" t="s">
        <v>16</v>
      </c>
      <c r="K4" s="4" t="s">
        <v>17</v>
      </c>
    </row>
    <row r="5" spans="1:11" ht="29" x14ac:dyDescent="0.35">
      <c r="A5" s="4" t="s">
        <v>28</v>
      </c>
      <c r="B5" s="5">
        <v>46236</v>
      </c>
      <c r="C5" s="4" t="s">
        <v>29</v>
      </c>
      <c r="D5" s="4" t="s">
        <v>30</v>
      </c>
      <c r="E5" s="4" t="s">
        <v>31</v>
      </c>
      <c r="F5" s="4" t="s">
        <v>15</v>
      </c>
      <c r="G5" s="2">
        <v>420</v>
      </c>
      <c r="H5" s="2">
        <v>35</v>
      </c>
      <c r="I5" s="2">
        <v>4.2</v>
      </c>
      <c r="J5" s="4" t="s">
        <v>32</v>
      </c>
      <c r="K5" s="4" t="s">
        <v>17</v>
      </c>
    </row>
    <row r="6" spans="1:11" ht="29" x14ac:dyDescent="0.35">
      <c r="A6" s="4" t="s">
        <v>33</v>
      </c>
      <c r="B6" s="5">
        <v>46237</v>
      </c>
      <c r="C6" s="4" t="s">
        <v>34</v>
      </c>
      <c r="D6" s="4" t="s">
        <v>35</v>
      </c>
      <c r="E6" s="4" t="s">
        <v>36</v>
      </c>
      <c r="F6" s="4" t="s">
        <v>22</v>
      </c>
      <c r="G6" s="2">
        <v>480</v>
      </c>
      <c r="H6" s="2">
        <v>45</v>
      </c>
      <c r="I6" s="2">
        <v>3.8</v>
      </c>
      <c r="J6" s="4" t="s">
        <v>16</v>
      </c>
      <c r="K6" s="4" t="s">
        <v>17</v>
      </c>
    </row>
    <row r="7" spans="1:11" ht="29" x14ac:dyDescent="0.35">
      <c r="A7" s="4" t="s">
        <v>37</v>
      </c>
      <c r="B7" s="5">
        <v>46237</v>
      </c>
      <c r="C7" s="4" t="s">
        <v>12</v>
      </c>
      <c r="D7" s="4" t="s">
        <v>38</v>
      </c>
      <c r="E7" s="4" t="s">
        <v>39</v>
      </c>
      <c r="F7" s="4" t="s">
        <v>15</v>
      </c>
      <c r="G7" s="2">
        <v>260</v>
      </c>
      <c r="H7" s="2">
        <v>22</v>
      </c>
      <c r="I7" s="2">
        <v>4.5999999999999996</v>
      </c>
      <c r="J7" s="4" t="s">
        <v>23</v>
      </c>
      <c r="K7" s="4" t="s">
        <v>17</v>
      </c>
    </row>
    <row r="8" spans="1:11" ht="29" x14ac:dyDescent="0.35">
      <c r="A8" s="4" t="s">
        <v>40</v>
      </c>
      <c r="B8" s="5">
        <v>46238</v>
      </c>
      <c r="C8" s="4" t="s">
        <v>41</v>
      </c>
      <c r="D8" s="4" t="s">
        <v>42</v>
      </c>
      <c r="E8" s="4" t="s">
        <v>14</v>
      </c>
      <c r="F8" s="4" t="s">
        <v>43</v>
      </c>
      <c r="G8" s="2">
        <v>650</v>
      </c>
      <c r="H8" s="2">
        <v>40</v>
      </c>
      <c r="I8" s="2">
        <v>4.3</v>
      </c>
      <c r="J8" s="4" t="s">
        <v>16</v>
      </c>
      <c r="K8" s="4" t="s">
        <v>17</v>
      </c>
    </row>
    <row r="9" spans="1:11" ht="29" x14ac:dyDescent="0.35">
      <c r="A9" s="4" t="s">
        <v>44</v>
      </c>
      <c r="B9" s="5">
        <v>46238</v>
      </c>
      <c r="C9" s="4" t="s">
        <v>45</v>
      </c>
      <c r="D9" s="4" t="s">
        <v>20</v>
      </c>
      <c r="E9" s="4" t="s">
        <v>21</v>
      </c>
      <c r="F9" s="4" t="s">
        <v>27</v>
      </c>
      <c r="G9" s="2">
        <v>550</v>
      </c>
      <c r="H9" s="2">
        <v>48</v>
      </c>
      <c r="I9" s="2">
        <v>3.7</v>
      </c>
      <c r="J9" s="4" t="s">
        <v>23</v>
      </c>
      <c r="K9" s="4" t="s">
        <v>17</v>
      </c>
    </row>
    <row r="10" spans="1:11" ht="29" x14ac:dyDescent="0.35">
      <c r="A10" s="4" t="s">
        <v>46</v>
      </c>
      <c r="B10" s="5">
        <v>46239</v>
      </c>
      <c r="C10" s="4" t="s">
        <v>47</v>
      </c>
      <c r="D10" s="4" t="s">
        <v>48</v>
      </c>
      <c r="E10" s="4" t="s">
        <v>31</v>
      </c>
      <c r="F10" s="4" t="s">
        <v>15</v>
      </c>
      <c r="G10" s="2">
        <v>180</v>
      </c>
      <c r="H10" s="2">
        <v>18</v>
      </c>
      <c r="I10" s="2">
        <v>4.8</v>
      </c>
      <c r="J10" s="4" t="s">
        <v>16</v>
      </c>
      <c r="K10" s="4" t="s">
        <v>17</v>
      </c>
    </row>
    <row r="11" spans="1:11" ht="29" x14ac:dyDescent="0.35">
      <c r="A11" s="4" t="s">
        <v>49</v>
      </c>
      <c r="B11" s="5">
        <v>46239</v>
      </c>
      <c r="C11" s="4" t="s">
        <v>50</v>
      </c>
      <c r="D11" s="4" t="s">
        <v>35</v>
      </c>
      <c r="E11" s="4" t="s">
        <v>36</v>
      </c>
      <c r="F11" s="4" t="s">
        <v>22</v>
      </c>
      <c r="G11" s="2">
        <v>720</v>
      </c>
      <c r="H11" s="2">
        <v>55</v>
      </c>
      <c r="I11" s="2">
        <v>3.4</v>
      </c>
      <c r="J11" s="4" t="s">
        <v>23</v>
      </c>
      <c r="K11" s="4" t="s">
        <v>17</v>
      </c>
    </row>
    <row r="12" spans="1:11" ht="29" x14ac:dyDescent="0.35">
      <c r="A12" s="4" t="s">
        <v>51</v>
      </c>
      <c r="B12" s="5">
        <v>46240</v>
      </c>
      <c r="C12" s="4" t="s">
        <v>52</v>
      </c>
      <c r="D12" s="4" t="s">
        <v>26</v>
      </c>
      <c r="E12" s="4" t="s">
        <v>14</v>
      </c>
      <c r="F12" s="4" t="s">
        <v>27</v>
      </c>
      <c r="G12" s="2">
        <v>390</v>
      </c>
      <c r="H12" s="2">
        <v>27</v>
      </c>
      <c r="I12" s="2">
        <v>4.5999999999999996</v>
      </c>
      <c r="J12" s="4" t="s">
        <v>16</v>
      </c>
      <c r="K12" s="4" t="s">
        <v>17</v>
      </c>
    </row>
    <row r="13" spans="1:11" ht="43.5" x14ac:dyDescent="0.35">
      <c r="A13" s="4" t="s">
        <v>53</v>
      </c>
      <c r="B13" s="5">
        <v>46240</v>
      </c>
      <c r="C13" s="4" t="s">
        <v>54</v>
      </c>
      <c r="D13" s="4" t="s">
        <v>13</v>
      </c>
      <c r="E13" s="4" t="s">
        <v>14</v>
      </c>
      <c r="F13" s="4" t="s">
        <v>43</v>
      </c>
      <c r="G13" s="2">
        <v>240</v>
      </c>
      <c r="H13" s="2">
        <v>32</v>
      </c>
      <c r="I13" s="2">
        <v>4.4000000000000004</v>
      </c>
      <c r="J13" s="4" t="s">
        <v>32</v>
      </c>
      <c r="K13" s="4" t="s">
        <v>17</v>
      </c>
    </row>
    <row r="14" spans="1:11" ht="29" x14ac:dyDescent="0.35">
      <c r="A14" s="4" t="s">
        <v>55</v>
      </c>
      <c r="B14" s="5">
        <v>46241</v>
      </c>
      <c r="C14" s="4" t="s">
        <v>56</v>
      </c>
      <c r="D14" s="4" t="s">
        <v>30</v>
      </c>
      <c r="E14" s="4" t="s">
        <v>31</v>
      </c>
      <c r="F14" s="4" t="s">
        <v>27</v>
      </c>
      <c r="G14" s="2">
        <v>450</v>
      </c>
      <c r="H14" s="2">
        <v>41</v>
      </c>
      <c r="I14" s="2">
        <v>4</v>
      </c>
      <c r="J14" s="4" t="s">
        <v>16</v>
      </c>
      <c r="K14" s="4" t="s">
        <v>17</v>
      </c>
    </row>
    <row r="15" spans="1:11" ht="29" x14ac:dyDescent="0.35">
      <c r="A15" s="4" t="s">
        <v>57</v>
      </c>
      <c r="B15" s="5">
        <v>46241</v>
      </c>
      <c r="C15" s="4" t="s">
        <v>58</v>
      </c>
      <c r="D15" s="4" t="s">
        <v>38</v>
      </c>
      <c r="E15" s="4" t="s">
        <v>39</v>
      </c>
      <c r="F15" s="4" t="s">
        <v>22</v>
      </c>
      <c r="G15" s="2">
        <v>320</v>
      </c>
      <c r="H15" s="2">
        <v>29</v>
      </c>
      <c r="I15" s="2">
        <v>4.5</v>
      </c>
      <c r="J15" s="4" t="s">
        <v>23</v>
      </c>
      <c r="K15" s="4" t="s">
        <v>17</v>
      </c>
    </row>
    <row r="16" spans="1:11" ht="29" x14ac:dyDescent="0.35">
      <c r="A16" s="4" t="s">
        <v>59</v>
      </c>
      <c r="B16" s="5">
        <v>46242</v>
      </c>
      <c r="C16" s="4" t="s">
        <v>60</v>
      </c>
      <c r="D16" s="4" t="s">
        <v>42</v>
      </c>
      <c r="E16" s="4" t="s">
        <v>14</v>
      </c>
      <c r="F16" s="4" t="s">
        <v>15</v>
      </c>
      <c r="G16" s="2">
        <v>700</v>
      </c>
      <c r="H16" s="2">
        <v>37</v>
      </c>
      <c r="I16" s="2">
        <v>4.2</v>
      </c>
      <c r="J16" s="4" t="s">
        <v>16</v>
      </c>
      <c r="K16" s="4" t="s">
        <v>17</v>
      </c>
    </row>
    <row r="17" spans="1:11" ht="29" x14ac:dyDescent="0.35">
      <c r="A17" s="4" t="s">
        <v>61</v>
      </c>
      <c r="B17" s="5">
        <v>46242</v>
      </c>
      <c r="C17" s="4" t="s">
        <v>62</v>
      </c>
      <c r="D17" s="4" t="s">
        <v>48</v>
      </c>
      <c r="E17" s="4" t="s">
        <v>31</v>
      </c>
      <c r="F17" s="4" t="s">
        <v>43</v>
      </c>
      <c r="G17" s="2">
        <v>150</v>
      </c>
      <c r="H17" s="2">
        <v>20</v>
      </c>
      <c r="I17" s="2">
        <v>4.7</v>
      </c>
      <c r="J17" s="4" t="s">
        <v>32</v>
      </c>
      <c r="K17" s="4" t="s">
        <v>17</v>
      </c>
    </row>
    <row r="18" spans="1:11" ht="29" x14ac:dyDescent="0.35">
      <c r="A18" s="4" t="s">
        <v>63</v>
      </c>
      <c r="B18" s="5">
        <v>46243</v>
      </c>
      <c r="C18" s="4" t="s">
        <v>64</v>
      </c>
      <c r="D18" s="4" t="s">
        <v>35</v>
      </c>
      <c r="E18" s="4" t="s">
        <v>36</v>
      </c>
      <c r="F18" s="4" t="s">
        <v>27</v>
      </c>
      <c r="G18" s="2">
        <v>590</v>
      </c>
      <c r="H18" s="2">
        <v>52</v>
      </c>
      <c r="I18" s="2">
        <v>3.5</v>
      </c>
      <c r="J18" s="4" t="s">
        <v>16</v>
      </c>
      <c r="K18" s="4" t="s">
        <v>17</v>
      </c>
    </row>
    <row r="19" spans="1:11" ht="29" x14ac:dyDescent="0.35">
      <c r="A19" s="4" t="s">
        <v>65</v>
      </c>
      <c r="B19" s="5">
        <v>46243</v>
      </c>
      <c r="C19" s="4" t="s">
        <v>66</v>
      </c>
      <c r="D19" s="4" t="s">
        <v>26</v>
      </c>
      <c r="E19" s="4" t="s">
        <v>14</v>
      </c>
      <c r="F19" s="4" t="s">
        <v>22</v>
      </c>
      <c r="G19" s="2">
        <v>430</v>
      </c>
      <c r="H19" s="2">
        <v>31</v>
      </c>
      <c r="I19" s="2">
        <v>4.5999999999999996</v>
      </c>
      <c r="J19" s="4" t="s">
        <v>23</v>
      </c>
      <c r="K19" s="4" t="s">
        <v>17</v>
      </c>
    </row>
    <row r="20" spans="1:11" ht="29" x14ac:dyDescent="0.35">
      <c r="A20" s="4" t="s">
        <v>67</v>
      </c>
      <c r="B20" s="5">
        <v>46244</v>
      </c>
      <c r="C20" s="4" t="s">
        <v>68</v>
      </c>
      <c r="D20" s="4" t="s">
        <v>20</v>
      </c>
      <c r="E20" s="4" t="s">
        <v>21</v>
      </c>
      <c r="F20" s="4" t="s">
        <v>43</v>
      </c>
      <c r="G20" s="2">
        <v>610</v>
      </c>
      <c r="H20" s="2">
        <v>44</v>
      </c>
      <c r="I20" s="2">
        <v>3.9</v>
      </c>
      <c r="J20" s="4" t="s">
        <v>16</v>
      </c>
      <c r="K20" s="4" t="s">
        <v>17</v>
      </c>
    </row>
    <row r="21" spans="1:11" ht="43.5" x14ac:dyDescent="0.35">
      <c r="A21" s="4" t="s">
        <v>69</v>
      </c>
      <c r="B21" s="5">
        <v>46244</v>
      </c>
      <c r="C21" s="4" t="s">
        <v>12</v>
      </c>
      <c r="D21" s="4" t="s">
        <v>13</v>
      </c>
      <c r="E21" s="4" t="s">
        <v>14</v>
      </c>
      <c r="F21" s="4" t="s">
        <v>15</v>
      </c>
      <c r="G21" s="2">
        <v>300</v>
      </c>
      <c r="H21" s="2">
        <v>24</v>
      </c>
      <c r="I21" s="2">
        <v>4.8</v>
      </c>
      <c r="J21" s="4" t="s">
        <v>16</v>
      </c>
      <c r="K21" s="4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941AAB-0BB4-4400-825D-7455B375F7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Pivot_Restaurant</vt:lpstr>
      <vt:lpstr>Pivot_Area_Revenue</vt:lpstr>
      <vt:lpstr>Pivot_Category</vt:lpstr>
      <vt:lpstr>Pivot_Delivery_Time</vt:lpstr>
      <vt:lpstr>Cleaned_data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pawar</dc:creator>
  <cp:lastModifiedBy>Gayatri pawar</cp:lastModifiedBy>
  <dcterms:created xsi:type="dcterms:W3CDTF">2015-06-05T18:17:20Z</dcterms:created>
  <dcterms:modified xsi:type="dcterms:W3CDTF">2026-09-26T05:43:33Z</dcterms:modified>
</cp:coreProperties>
</file>